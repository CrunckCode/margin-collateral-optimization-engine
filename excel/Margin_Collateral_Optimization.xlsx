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IM" sheetId="3" state="visible" r:id="rId5"/>
    <sheet name="Collateral" sheetId="4" state="visible" r:id="rId6"/>
    <sheet name="Allocation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<sst xmlns="http://schemas.openxmlformats.org/spreadsheetml/2006/main" count="117" uniqueCount="92">
  <si>
    <t xml:space="preserve">Margin and Collateral Optimization Engine (Excel companion)</t>
  </si>
  <si>
    <t xml:space="preserve">Inputs: all assumptions. IM: SIMM-style initial margin, live formulas. Collateral: inventory and haircuts.</t>
  </si>
  <si>
    <t xml:space="preserve">Allocation: the linear-program solution pasted from Python (Solver is not required), with live checks.</t>
  </si>
  <si>
    <t xml:space="preserve">Scenarios: static results from the Python scenario runs.</t>
  </si>
  <si>
    <t xml:space="preserve">SIMM-style means simplified and illustrative. It is not ISDA SIMM and not ISDA certified.</t>
  </si>
  <si>
    <t xml:space="preserve">To re-optimize after changing inputs, run python/run_all.py and paste the new allocation, or use Excel Solver.</t>
  </si>
  <si>
    <t xml:space="preserve">Market snapshot</t>
  </si>
  <si>
    <t xml:space="preserve">Value</t>
  </si>
  <si>
    <t xml:space="preserve">AAPL price</t>
  </si>
  <si>
    <t xml:space="preserve">JPM price</t>
  </si>
  <si>
    <t xml:space="preserve">XOM price</t>
  </si>
  <si>
    <t xml:space="preserve">EURUSD</t>
  </si>
  <si>
    <t xml:space="preserve">US 10Y yield</t>
  </si>
  <si>
    <t xml:space="preserve">Duration proxy (years)</t>
  </si>
  <si>
    <t xml:space="preserve">Netting set positions</t>
  </si>
  <si>
    <t xml:space="preserve">Counterparty A (equity-heavy)</t>
  </si>
  <si>
    <t xml:space="preserve">Counterparty B (rates-heavy)</t>
  </si>
  <si>
    <t xml:space="preserve">AAPL shares</t>
  </si>
  <si>
    <t xml:space="preserve">JPM shares</t>
  </si>
  <si>
    <t xml:space="preserve">XOM shares</t>
  </si>
  <si>
    <t xml:space="preserve">EUR notional</t>
  </si>
  <si>
    <t xml:space="preserve">USD rate notional</t>
  </si>
  <si>
    <t xml:space="preserve">Risk weights</t>
  </si>
  <si>
    <t xml:space="preserve">Equity</t>
  </si>
  <si>
    <t xml:space="preserve">FX</t>
  </si>
  <si>
    <t xml:space="preserve">Rate</t>
  </si>
  <si>
    <t xml:space="preserve">Cross-class correlation</t>
  </si>
  <si>
    <t xml:space="preserve">Cash opportunity cost (bps)</t>
  </si>
  <si>
    <t xml:space="preserve">Item</t>
  </si>
  <si>
    <t xml:space="preserve">Equity delta (USD)</t>
  </si>
  <si>
    <t xml:space="preserve">FX delta (USD)</t>
  </si>
  <si>
    <t xml:space="preserve">Rate exposure (USD, duration-style)</t>
  </si>
  <si>
    <t xml:space="preserve">Weighted equity</t>
  </si>
  <si>
    <t xml:space="preserve">Weighted FX</t>
  </si>
  <si>
    <t xml:space="preserve">Weighted rate</t>
  </si>
  <si>
    <t xml:space="preserve">Initial margin</t>
  </si>
  <si>
    <t xml:space="preserve">Total initial margin</t>
  </si>
  <si>
    <t xml:space="preserve">Asset</t>
  </si>
  <si>
    <t xml:space="preserve">Market value</t>
  </si>
  <si>
    <t xml:space="preserve">Haircut</t>
  </si>
  <si>
    <t xml:space="preserve">Opportunity cost (bps)</t>
  </si>
  <si>
    <t xml:space="preserve">Eligible A</t>
  </si>
  <si>
    <t xml:space="preserve">Eligible B</t>
  </si>
  <si>
    <t xml:space="preserve">Post-haircut value</t>
  </si>
  <si>
    <t xml:space="preserve">Cost per unit of coverage (bps)</t>
  </si>
  <si>
    <t xml:space="preserve">Cash (USD)</t>
  </si>
  <si>
    <t xml:space="preserve">Yes</t>
  </si>
  <si>
    <t xml:space="preserve">US Treasury &lt;1Y</t>
  </si>
  <si>
    <t xml:space="preserve">US Treasury 1-5Y</t>
  </si>
  <si>
    <t xml:space="preserve">US Treasury 5-10Y</t>
  </si>
  <si>
    <t xml:space="preserve">IG Corporate Bonds</t>
  </si>
  <si>
    <t xml:space="preserve">No</t>
  </si>
  <si>
    <t xml:space="preserve">Equities (large-cap)</t>
  </si>
  <si>
    <t xml:space="preserve">Posted to A (market value)</t>
  </si>
  <si>
    <t xml:space="preserve">Posted to B (market value)</t>
  </si>
  <si>
    <t xml:space="preserve">Total posted</t>
  </si>
  <si>
    <t xml:space="preserve">Within inventory?</t>
  </si>
  <si>
    <t xml:space="preserve">Annual cost</t>
  </si>
  <si>
    <t xml:space="preserve">Coverage to A (post-haircut)</t>
  </si>
  <si>
    <t xml:space="preserve">Initial margin A</t>
  </si>
  <si>
    <t xml:space="preserve">A covered?</t>
  </si>
  <si>
    <t xml:space="preserve">Coverage to B (post-haircut)</t>
  </si>
  <si>
    <t xml:space="preserve">Initial margin B</t>
  </si>
  <si>
    <t xml:space="preserve">B covered?</t>
  </si>
  <si>
    <t xml:space="preserve">Optimized annual cost</t>
  </si>
  <si>
    <t xml:space="preserve">Cash-only annual cost</t>
  </si>
  <si>
    <t xml:space="preserve">Annual saving</t>
  </si>
  <si>
    <t xml:space="preserve">Saving percent</t>
  </si>
  <si>
    <t xml:space="preserve">Funding rate sweep (static, from Python)</t>
  </si>
  <si>
    <t xml:space="preserve">cash_cost_bps</t>
  </si>
  <si>
    <t xml:space="preserve">naive_cost</t>
  </si>
  <si>
    <t xml:space="preserve">optimized_cost</t>
  </si>
  <si>
    <t xml:space="preserve">saving</t>
  </si>
  <si>
    <t xml:space="preserve">saving_pct</t>
  </si>
  <si>
    <t xml:space="preserve">Haircut stress (static, from Python)</t>
  </si>
  <si>
    <t xml:space="preserve">haircut_multiplier</t>
  </si>
  <si>
    <t xml:space="preserve">market_value_posted</t>
  </si>
  <si>
    <t xml:space="preserve">overcollateral_pct</t>
  </si>
  <si>
    <t xml:space="preserve">Initial margin scaling (static, from Python)</t>
  </si>
  <si>
    <t xml:space="preserve">im_scale</t>
  </si>
  <si>
    <t xml:space="preserve">total_im</t>
  </si>
  <si>
    <t xml:space="preserve">feasible</t>
  </si>
  <si>
    <t xml:space="preserve">shadow_price_a</t>
  </si>
  <si>
    <t xml:space="preserve">shadow_price_b</t>
  </si>
  <si>
    <t xml:space="preserve">Treasury scarcity (static, from Python)</t>
  </si>
  <si>
    <t xml:space="preserve">treasury_availability</t>
  </si>
  <si>
    <t xml:space="preserve">cash_posted</t>
  </si>
  <si>
    <t xml:space="preserve">Eligibility cases (static, from Python)</t>
  </si>
  <si>
    <t xml:space="preserve">case</t>
  </si>
  <si>
    <t xml:space="preserve">Base (Treasuries &lt;1Y eligible for both)</t>
  </si>
  <si>
    <t xml:space="preserve">Treasuries &lt;1Y ineligible for B</t>
  </si>
  <si>
    <t xml:space="preserve">Treasuries &lt;1Y ineligible for both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</si>
</sst>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2"/>
  </cols>
  <sheetData>
    <row r="1" customFormat="false" ht="15" hidden="false" customHeight="false" outlineLevel="0" collapsed="false">
      <c r="A1" s="1" t="s">
        <v>6</v>
      </c>
      <c r="B1" s="1" t="s">
        <v>7</v>
      </c>
    </row>
    <row r="2" customFormat="false" ht="15" hidden="false" customHeight="false" outlineLevel="0" collapsed="false">
      <c r="A2" s="0" t="s">
        <v>8</v>
      </c>
      <c r="B2" s="0" t="n">
        <v>341.07</v>
      </c>
    </row>
    <row r="3" customFormat="false" ht="15" hidden="false" customHeight="false" outlineLevel="0" collapsed="false">
      <c r="A3" s="0" t="s">
        <v>9</v>
      </c>
      <c r="B3" s="0" t="n">
        <v>343.06</v>
      </c>
    </row>
    <row r="4" customFormat="false" ht="15" hidden="false" customHeight="false" outlineLevel="0" collapsed="false">
      <c r="A4" s="0" t="s">
        <v>10</v>
      </c>
      <c r="B4" s="0" t="n">
        <v>160.59</v>
      </c>
    </row>
    <row r="5" customFormat="false" ht="15" hidden="false" customHeight="false" outlineLevel="0" collapsed="false">
      <c r="A5" s="0" t="s">
        <v>11</v>
      </c>
      <c r="B5" s="0" t="n">
        <v>1.1401</v>
      </c>
    </row>
    <row r="6" customFormat="false" ht="15" hidden="false" customHeight="false" outlineLevel="0" collapsed="false">
      <c r="A6" s="0" t="s">
        <v>12</v>
      </c>
      <c r="B6" s="0" t="n">
        <v>0.0518</v>
      </c>
    </row>
    <row r="7" customFormat="false" ht="15" hidden="false" customHeight="false" outlineLevel="0" collapsed="false">
      <c r="A7" s="0" t="s">
        <v>13</v>
      </c>
      <c r="B7" s="0" t="n">
        <v>10</v>
      </c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16</v>
      </c>
    </row>
    <row r="10" customFormat="false" ht="15" hidden="false" customHeight="false" outlineLevel="0" collapsed="false">
      <c r="A10" s="0" t="s">
        <v>17</v>
      </c>
      <c r="B10" s="0" t="n">
        <v>3000</v>
      </c>
      <c r="C10" s="0" t="n">
        <v>0</v>
      </c>
    </row>
    <row r="11" customFormat="false" ht="15" hidden="false" customHeight="false" outlineLevel="0" collapsed="false">
      <c r="A11" s="0" t="s">
        <v>18</v>
      </c>
      <c r="B11" s="0" t="n">
        <v>2000</v>
      </c>
      <c r="C11" s="0" t="n">
        <v>0</v>
      </c>
    </row>
    <row r="12" customFormat="false" ht="15" hidden="false" customHeight="false" outlineLevel="0" collapsed="false">
      <c r="A12" s="0" t="s">
        <v>19</v>
      </c>
      <c r="B12" s="0" t="n">
        <v>0</v>
      </c>
      <c r="C12" s="0" t="n">
        <v>500</v>
      </c>
    </row>
    <row r="13" customFormat="false" ht="15" hidden="false" customHeight="false" outlineLevel="0" collapsed="false">
      <c r="A13" s="0" t="s">
        <v>20</v>
      </c>
      <c r="B13" s="0" t="n">
        <v>5000000</v>
      </c>
      <c r="C13" s="0" t="n">
        <v>1000000</v>
      </c>
    </row>
    <row r="14" customFormat="false" ht="15" hidden="false" customHeight="false" outlineLevel="0" collapsed="false">
      <c r="A14" s="0" t="s">
        <v>21</v>
      </c>
      <c r="B14" s="0" t="n">
        <v>30000000</v>
      </c>
      <c r="C14" s="0" t="n">
        <v>80000000</v>
      </c>
    </row>
    <row r="16" customFormat="false" ht="15" hidden="false" customHeight="false" outlineLevel="0" collapsed="false">
      <c r="A16" s="1" t="s">
        <v>22</v>
      </c>
      <c r="B16" s="1" t="s">
        <v>7</v>
      </c>
    </row>
    <row r="17" customFormat="false" ht="15" hidden="false" customHeight="false" outlineLevel="0" collapsed="false">
      <c r="A17" s="0" t="s">
        <v>23</v>
      </c>
      <c r="B17" s="0" t="n">
        <v>0.24</v>
      </c>
    </row>
    <row r="18" customFormat="false" ht="15" hidden="false" customHeight="false" outlineLevel="0" collapsed="false">
      <c r="A18" s="0" t="s">
        <v>24</v>
      </c>
      <c r="B18" s="0" t="n">
        <v>0.155</v>
      </c>
    </row>
    <row r="19" customFormat="false" ht="15" hidden="false" customHeight="false" outlineLevel="0" collapsed="false">
      <c r="A19" s="0" t="s">
        <v>25</v>
      </c>
      <c r="B19" s="0" t="n">
        <v>0.019</v>
      </c>
    </row>
    <row r="20" customFormat="false" ht="15" hidden="false" customHeight="false" outlineLevel="0" collapsed="false">
      <c r="A20" s="0" t="s">
        <v>26</v>
      </c>
      <c r="B20" s="0" t="n">
        <v>0.3</v>
      </c>
    </row>
    <row r="21" customFormat="false" ht="15" hidden="false" customHeight="false" outlineLevel="0" collapsed="false">
      <c r="A21" s="0" t="s">
        <v>27</v>
      </c>
      <c r="B21" s="0" t="n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32"/>
  </cols>
  <sheetData>
    <row r="1" customFormat="false" ht="15" hidden="false" customHeight="false" outlineLevel="0" collapsed="false">
      <c r="A1" s="1" t="s">
        <v>28</v>
      </c>
      <c r="B1" s="1" t="s">
        <v>15</v>
      </c>
      <c r="C1" s="1" t="s">
        <v>16</v>
      </c>
    </row>
    <row r="2" customFormat="false" ht="15" hidden="false" customHeight="false" outlineLevel="0" collapsed="false">
      <c r="A2" s="0" t="s">
        <v>29</v>
      </c>
      <c r="B2" s="0" t="n">
        <f aca="false">Inputs!B10*Inputs!$B$2+Inputs!B11*Inputs!$B$3+Inputs!B12*Inputs!$B$4</f>
        <v>1709330</v>
      </c>
      <c r="C2" s="0" t="n">
        <f aca="false">Inputs!C10*Inputs!$B$2+Inputs!C11*Inputs!$B$3+Inputs!C12*Inputs!$B$4</f>
        <v>80295</v>
      </c>
    </row>
    <row r="3" customFormat="false" ht="15" hidden="false" customHeight="false" outlineLevel="0" collapsed="false">
      <c r="A3" s="0" t="s">
        <v>30</v>
      </c>
      <c r="B3" s="0" t="n">
        <f aca="false">Inputs!B13*Inputs!$B$5</f>
        <v>5700500</v>
      </c>
      <c r="C3" s="0" t="n">
        <f aca="false">Inputs!C13*Inputs!$B$5</f>
        <v>1140100</v>
      </c>
    </row>
    <row r="4" customFormat="false" ht="15" hidden="false" customHeight="false" outlineLevel="0" collapsed="false">
      <c r="A4" s="0" t="s">
        <v>31</v>
      </c>
      <c r="B4" s="0" t="n">
        <f aca="false">Inputs!B14*Inputs!$B$7/(1+Inputs!$B$6)</f>
        <v>285225328.009127</v>
      </c>
      <c r="C4" s="0" t="n">
        <f aca="false">Inputs!C14*Inputs!$B$7/(1+Inputs!$B$6)</f>
        <v>760600874.691006</v>
      </c>
    </row>
    <row r="5" customFormat="false" ht="15" hidden="false" customHeight="false" outlineLevel="0" collapsed="false">
      <c r="A5" s="0" t="s">
        <v>32</v>
      </c>
      <c r="B5" s="0" t="n">
        <f aca="false">ABS(B2)*Inputs!$B$17</f>
        <v>410239.2</v>
      </c>
      <c r="C5" s="0" t="n">
        <f aca="false">ABS(C2)*Inputs!$B$17</f>
        <v>19270.8</v>
      </c>
    </row>
    <row r="6" customFormat="false" ht="15" hidden="false" customHeight="false" outlineLevel="0" collapsed="false">
      <c r="A6" s="0" t="s">
        <v>33</v>
      </c>
      <c r="B6" s="0" t="n">
        <f aca="false">ABS(B3)*Inputs!$B$18</f>
        <v>883577.5</v>
      </c>
      <c r="C6" s="0" t="n">
        <f aca="false">ABS(C3)*Inputs!$B$18</f>
        <v>176715.5</v>
      </c>
    </row>
    <row r="7" customFormat="false" ht="15" hidden="false" customHeight="false" outlineLevel="0" collapsed="false">
      <c r="A7" s="0" t="s">
        <v>34</v>
      </c>
      <c r="B7" s="0" t="n">
        <f aca="false">ABS(B4)*Inputs!$B$19</f>
        <v>5419281.23217342</v>
      </c>
      <c r="C7" s="0" t="n">
        <f aca="false">ABS(C4)*Inputs!$B$19</f>
        <v>14451416.6191291</v>
      </c>
    </row>
    <row r="8" customFormat="false" ht="15" hidden="false" customHeight="false" outlineLevel="0" collapsed="false">
      <c r="A8" s="1" t="s">
        <v>35</v>
      </c>
      <c r="B8" s="1" t="n">
        <f aca="false">SQRT(B5^2+B6^2+B7^2+2*Inputs!$B$20*(B5*B6+B5*B7+B6*B7))</f>
        <v>5894237.46427494</v>
      </c>
      <c r="C8" s="1" t="n">
        <f aca="false">SQRT(C5^2+C6^2+C7^2+2*Inputs!$B$20*(C5*C6+C5*C7+C6*C7))</f>
        <v>14511252.6373333</v>
      </c>
    </row>
    <row r="10" customFormat="false" ht="15" hidden="false" customHeight="false" outlineLevel="0" collapsed="false">
      <c r="A10" s="1" t="s">
        <v>36</v>
      </c>
      <c r="B10" s="1" t="n">
        <f aca="false">B8+C8</f>
        <v>20405490.1016083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customFormat="false" ht="15" hidden="false" customHeight="false" outlineLevel="0" collapsed="false">
      <c r="A2" s="0" t="s">
        <v>45</v>
      </c>
      <c r="B2" s="0" t="n">
        <v>15000000</v>
      </c>
      <c r="C2" s="0" t="n">
        <v>0</v>
      </c>
      <c r="D2" s="0" t="n">
        <v>450</v>
      </c>
      <c r="E2" s="0" t="s">
        <v>46</v>
      </c>
      <c r="F2" s="0" t="s">
        <v>46</v>
      </c>
      <c r="G2" s="0" t="n">
        <f aca="false">B2*(1-C2)</f>
        <v>15000000</v>
      </c>
      <c r="H2" s="0" t="n">
        <f aca="false">D2/(1-C2)</f>
        <v>450</v>
      </c>
    </row>
    <row r="3" customFormat="false" ht="15" hidden="false" customHeight="false" outlineLevel="0" collapsed="false">
      <c r="A3" s="0" t="s">
        <v>47</v>
      </c>
      <c r="B3" s="0" t="n">
        <v>20000000</v>
      </c>
      <c r="C3" s="0" t="n">
        <v>0.005</v>
      </c>
      <c r="D3" s="0" t="n">
        <v>15</v>
      </c>
      <c r="E3" s="0" t="s">
        <v>46</v>
      </c>
      <c r="F3" s="0" t="s">
        <v>46</v>
      </c>
      <c r="G3" s="0" t="n">
        <f aca="false">B3*(1-C3)</f>
        <v>19900000</v>
      </c>
      <c r="H3" s="0" t="n">
        <f aca="false">D3/(1-C3)</f>
        <v>15.0753768844221</v>
      </c>
    </row>
    <row r="4" customFormat="false" ht="15" hidden="false" customHeight="false" outlineLevel="0" collapsed="false">
      <c r="A4" s="0" t="s">
        <v>48</v>
      </c>
      <c r="B4" s="0" t="n">
        <v>25000000</v>
      </c>
      <c r="C4" s="0" t="n">
        <v>0.02</v>
      </c>
      <c r="D4" s="0" t="n">
        <v>25</v>
      </c>
      <c r="E4" s="0" t="s">
        <v>46</v>
      </c>
      <c r="F4" s="0" t="s">
        <v>46</v>
      </c>
      <c r="G4" s="0" t="n">
        <f aca="false">B4*(1-C4)</f>
        <v>24500000</v>
      </c>
      <c r="H4" s="0" t="n">
        <f aca="false">D4/(1-C4)</f>
        <v>25.5102040816327</v>
      </c>
    </row>
    <row r="5" customFormat="false" ht="15" hidden="false" customHeight="false" outlineLevel="0" collapsed="false">
      <c r="A5" s="0" t="s">
        <v>49</v>
      </c>
      <c r="B5" s="0" t="n">
        <v>15000000</v>
      </c>
      <c r="C5" s="0" t="n">
        <v>0.04</v>
      </c>
      <c r="D5" s="0" t="n">
        <v>35</v>
      </c>
      <c r="E5" s="0" t="s">
        <v>46</v>
      </c>
      <c r="F5" s="0" t="s">
        <v>46</v>
      </c>
      <c r="G5" s="0" t="n">
        <f aca="false">B5*(1-C5)</f>
        <v>14400000</v>
      </c>
      <c r="H5" s="0" t="n">
        <f aca="false">D5/(1-C5)</f>
        <v>36.4583333333333</v>
      </c>
    </row>
    <row r="6" customFormat="false" ht="15" hidden="false" customHeight="false" outlineLevel="0" collapsed="false">
      <c r="A6" s="0" t="s">
        <v>50</v>
      </c>
      <c r="B6" s="0" t="n">
        <v>10000000</v>
      </c>
      <c r="C6" s="0" t="n">
        <v>0.08</v>
      </c>
      <c r="D6" s="0" t="n">
        <v>55</v>
      </c>
      <c r="E6" s="0" t="s">
        <v>46</v>
      </c>
      <c r="F6" s="0" t="s">
        <v>51</v>
      </c>
      <c r="G6" s="0" t="n">
        <f aca="false">B6*(1-C6)</f>
        <v>9200000</v>
      </c>
      <c r="H6" s="0" t="n">
        <f aca="false">D6/(1-C6)</f>
        <v>59.7826086956522</v>
      </c>
    </row>
    <row r="7" customFormat="false" ht="15" hidden="false" customHeight="false" outlineLevel="0" collapsed="false">
      <c r="A7" s="0" t="s">
        <v>52</v>
      </c>
      <c r="B7" s="0" t="n">
        <v>8000000</v>
      </c>
      <c r="C7" s="0" t="n">
        <v>0.15</v>
      </c>
      <c r="D7" s="0" t="n">
        <v>80</v>
      </c>
      <c r="E7" s="0" t="s">
        <v>51</v>
      </c>
      <c r="F7" s="0" t="s">
        <v>51</v>
      </c>
      <c r="G7" s="0" t="n">
        <f aca="false">B7*(1-C7)</f>
        <v>6800000</v>
      </c>
      <c r="H7" s="0" t="n">
        <f aca="false">D7/(1-C7)</f>
        <v>94.1176470588235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8"/>
    <col collapsed="false" customWidth="true" hidden="false" outlineLevel="0" max="5" min="4" style="0" width="2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37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customFormat="false" ht="15" hidden="false" customHeight="false" outlineLevel="0" collapsed="false">
      <c r="A2" s="0" t="s">
        <v>45</v>
      </c>
      <c r="B2" s="0" t="n">
        <v>0</v>
      </c>
      <c r="C2" s="0" t="n">
        <v>0</v>
      </c>
      <c r="D2" s="0" t="n">
        <f aca="false">B2+C2</f>
        <v>0</v>
      </c>
      <c r="E2" s="0" t="str">
        <f aca="false">IF(D2&lt;=Collateral!B2+0.01,"OK","BREACH")</f>
        <v>OK</v>
      </c>
      <c r="F2" s="0" t="n">
        <f aca="false">D2*Collateral!D2/10000</f>
        <v>0</v>
      </c>
    </row>
    <row r="3" customFormat="false" ht="15" hidden="false" customHeight="false" outlineLevel="0" collapsed="false">
      <c r="A3" s="0" t="s">
        <v>47</v>
      </c>
      <c r="B3" s="0" t="n">
        <v>5923856.74801501</v>
      </c>
      <c r="C3" s="0" t="n">
        <v>14076143.251985</v>
      </c>
      <c r="D3" s="0" t="n">
        <f aca="false">B3+C3</f>
        <v>20000000</v>
      </c>
      <c r="E3" s="0" t="str">
        <f aca="false">IF(D3&lt;=Collateral!B3+0.01,"OK","BREACH")</f>
        <v>OK</v>
      </c>
      <c r="F3" s="0" t="n">
        <f aca="false">D3*Collateral!D3/10000</f>
        <v>30000</v>
      </c>
    </row>
    <row r="4" customFormat="false" ht="15" hidden="false" customHeight="false" outlineLevel="0" collapsed="false">
      <c r="A4" s="0" t="s">
        <v>48</v>
      </c>
      <c r="B4" s="0" t="n">
        <v>0</v>
      </c>
      <c r="C4" s="0" t="n">
        <v>515806.226130877</v>
      </c>
      <c r="D4" s="0" t="n">
        <f aca="false">B4+C4</f>
        <v>515806.226130877</v>
      </c>
      <c r="E4" s="0" t="str">
        <f aca="false">IF(D4&lt;=Collateral!B4+0.01,"OK","BREACH")</f>
        <v>OK</v>
      </c>
      <c r="F4" s="0" t="n">
        <f aca="false">D4*Collateral!D4/10000</f>
        <v>1289.51556532719</v>
      </c>
    </row>
    <row r="5" customFormat="false" ht="15" hidden="false" customHeight="false" outlineLevel="0" collapsed="false">
      <c r="A5" s="0" t="s">
        <v>49</v>
      </c>
      <c r="B5" s="0" t="n">
        <v>0</v>
      </c>
      <c r="C5" s="0" t="n">
        <v>0</v>
      </c>
      <c r="D5" s="0" t="n">
        <f aca="false">B5+C5</f>
        <v>0</v>
      </c>
      <c r="E5" s="0" t="str">
        <f aca="false">IF(D5&lt;=Collateral!B5+0.01,"OK","BREACH")</f>
        <v>OK</v>
      </c>
      <c r="F5" s="0" t="n">
        <f aca="false">D5*Collateral!D5/10000</f>
        <v>0</v>
      </c>
    </row>
    <row r="6" customFormat="false" ht="15" hidden="false" customHeight="false" outlineLevel="0" collapsed="false">
      <c r="A6" s="0" t="s">
        <v>50</v>
      </c>
      <c r="B6" s="0" t="n">
        <v>0</v>
      </c>
      <c r="C6" s="0" t="n">
        <v>0</v>
      </c>
      <c r="D6" s="0" t="n">
        <f aca="false">B6+C6</f>
        <v>0</v>
      </c>
      <c r="E6" s="0" t="str">
        <f aca="false">IF(D6&lt;=Collateral!B6+0.01,"OK","BREACH")</f>
        <v>OK</v>
      </c>
      <c r="F6" s="0" t="n">
        <f aca="false">D6*Collateral!D6/10000</f>
        <v>0</v>
      </c>
    </row>
    <row r="7" customFormat="false" ht="15" hidden="false" customHeight="false" outlineLevel="0" collapsed="false">
      <c r="A7" s="0" t="s">
        <v>52</v>
      </c>
      <c r="B7" s="0" t="n">
        <v>0</v>
      </c>
      <c r="C7" s="0" t="n">
        <v>0</v>
      </c>
      <c r="D7" s="0" t="n">
        <f aca="false">B7+C7</f>
        <v>0</v>
      </c>
      <c r="E7" s="0" t="str">
        <f aca="false">IF(D7&lt;=Collateral!B7+0.01,"OK","BREACH")</f>
        <v>OK</v>
      </c>
      <c r="F7" s="0" t="n">
        <f aca="false">D7*Collateral!D7/10000</f>
        <v>0</v>
      </c>
    </row>
    <row r="9" customFormat="false" ht="15" hidden="false" customHeight="false" outlineLevel="0" collapsed="false">
      <c r="A9" s="1" t="s">
        <v>58</v>
      </c>
      <c r="B9" s="1" t="n">
        <f aca="false">SUMPRODUCT(B2:B7,1-Collateral!C2:C7)</f>
        <v>5894237.46427494</v>
      </c>
    </row>
    <row r="10" customFormat="false" ht="15" hidden="false" customHeight="false" outlineLevel="0" collapsed="false">
      <c r="A10" s="0" t="s">
        <v>59</v>
      </c>
      <c r="B10" s="0" t="n">
        <f aca="false">IM!B8</f>
        <v>5894237.46427494</v>
      </c>
    </row>
    <row r="11" customFormat="false" ht="15" hidden="false" customHeight="false" outlineLevel="0" collapsed="false">
      <c r="A11" s="0" t="s">
        <v>60</v>
      </c>
      <c r="B11" s="0" t="str">
        <f aca="false">IF(B9&gt;=B10-1,"OK","SHORT")</f>
        <v>OK</v>
      </c>
    </row>
    <row r="12" customFormat="false" ht="15" hidden="false" customHeight="false" outlineLevel="0" collapsed="false">
      <c r="A12" s="1" t="s">
        <v>61</v>
      </c>
      <c r="B12" s="1" t="n">
        <f aca="false">SUMPRODUCT(C2:C7,1-Collateral!C2:C7)</f>
        <v>14511252.6373333</v>
      </c>
    </row>
    <row r="13" customFormat="false" ht="15" hidden="false" customHeight="false" outlineLevel="0" collapsed="false">
      <c r="A13" s="0" t="s">
        <v>62</v>
      </c>
      <c r="B13" s="0" t="n">
        <f aca="false">IM!C8</f>
        <v>14511252.6373333</v>
      </c>
    </row>
    <row r="14" customFormat="false" ht="15" hidden="false" customHeight="false" outlineLevel="0" collapsed="false">
      <c r="A14" s="0" t="s">
        <v>63</v>
      </c>
      <c r="B14" s="0" t="str">
        <f aca="false">IF(B12&gt;=B13-1,"OK","SHORT")</f>
        <v>OK</v>
      </c>
    </row>
    <row r="16" customFormat="false" ht="15" hidden="false" customHeight="false" outlineLevel="0" collapsed="false">
      <c r="A16" s="1" t="s">
        <v>64</v>
      </c>
      <c r="B16" s="1" t="n">
        <f aca="false">SUM(F2:F7)</f>
        <v>31289.5155653272</v>
      </c>
    </row>
    <row r="17" customFormat="false" ht="15" hidden="false" customHeight="false" outlineLevel="0" collapsed="false">
      <c r="A17" s="1" t="s">
        <v>65</v>
      </c>
      <c r="B17" s="1" t="n">
        <f aca="false">IM!B10*Inputs!B21/10000</f>
        <v>918247.054572372</v>
      </c>
    </row>
    <row r="18" customFormat="false" ht="15" hidden="false" customHeight="false" outlineLevel="0" collapsed="false">
      <c r="A18" s="1" t="s">
        <v>66</v>
      </c>
      <c r="B18" s="1" t="n">
        <f aca="false">B17-B16</f>
        <v>886957.539007044</v>
      </c>
    </row>
    <row r="19" customFormat="false" ht="15" hidden="false" customHeight="false" outlineLevel="0" collapsed="false">
      <c r="A19" s="1" t="s">
        <v>67</v>
      </c>
      <c r="B19" s="1" t="n">
        <f aca="false">B18/B17</f>
        <v>0.965924730812342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22"/>
  </cols>
  <sheetData>
    <row r="1" customFormat="false" ht="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</row>
    <row r="3" customFormat="false" ht="15" hidden="false" customHeight="false" outlineLevel="0" collapsed="false">
      <c r="A3" s="0" t="n">
        <v>50</v>
      </c>
      <c r="B3" s="0" t="n">
        <v>102027.450508041</v>
      </c>
      <c r="C3" s="0" t="n">
        <v>31289.5155653272</v>
      </c>
      <c r="D3" s="0" t="n">
        <v>70737.9349427141</v>
      </c>
      <c r="E3" s="0" t="n">
        <v>0.693322577311083</v>
      </c>
    </row>
    <row r="4" customFormat="false" ht="15" hidden="false" customHeight="false" outlineLevel="0" collapsed="false">
      <c r="A4" s="0" t="n">
        <v>100</v>
      </c>
      <c r="B4" s="0" t="n">
        <v>204054.901016083</v>
      </c>
      <c r="C4" s="0" t="n">
        <v>31289.5155653272</v>
      </c>
      <c r="D4" s="0" t="n">
        <v>172765.385450755</v>
      </c>
      <c r="E4" s="0" t="n">
        <v>0.846661288655541</v>
      </c>
    </row>
    <row r="5" customFormat="false" ht="15" hidden="false" customHeight="false" outlineLevel="0" collapsed="false">
      <c r="A5" s="0" t="n">
        <v>200</v>
      </c>
      <c r="B5" s="0" t="n">
        <v>408109.802032165</v>
      </c>
      <c r="C5" s="0" t="n">
        <v>31289.5155653272</v>
      </c>
      <c r="D5" s="0" t="n">
        <v>376820.286466838</v>
      </c>
      <c r="E5" s="0" t="n">
        <v>0.923330644327771</v>
      </c>
    </row>
    <row r="6" customFormat="false" ht="15" hidden="false" customHeight="false" outlineLevel="0" collapsed="false">
      <c r="A6" s="0" t="n">
        <v>300</v>
      </c>
      <c r="B6" s="0" t="n">
        <v>612164.703048248</v>
      </c>
      <c r="C6" s="0" t="n">
        <v>31289.5155653272</v>
      </c>
      <c r="D6" s="0" t="n">
        <v>580875.187482921</v>
      </c>
      <c r="E6" s="0" t="n">
        <v>0.948887096218514</v>
      </c>
    </row>
    <row r="7" customFormat="false" ht="15" hidden="false" customHeight="false" outlineLevel="0" collapsed="false">
      <c r="A7" s="0" t="n">
        <v>450</v>
      </c>
      <c r="B7" s="0" t="n">
        <v>918247.054572372</v>
      </c>
      <c r="C7" s="0" t="n">
        <v>31289.5155653272</v>
      </c>
      <c r="D7" s="0" t="n">
        <v>886957.539007044</v>
      </c>
      <c r="E7" s="0" t="n">
        <v>0.965924730812342</v>
      </c>
    </row>
    <row r="8" customFormat="false" ht="15" hidden="false" customHeight="false" outlineLevel="0" collapsed="false">
      <c r="A8" s="0" t="n">
        <v>600</v>
      </c>
      <c r="B8" s="0" t="n">
        <v>1224329.4060965</v>
      </c>
      <c r="C8" s="0" t="n">
        <v>31289.5155653272</v>
      </c>
      <c r="D8" s="0" t="n">
        <v>1193039.89053117</v>
      </c>
      <c r="E8" s="0" t="n">
        <v>0.974443548109257</v>
      </c>
    </row>
    <row r="11" customFormat="false" ht="15" hidden="false" customHeight="false" outlineLevel="0" collapsed="false">
      <c r="A11" s="1" t="s">
        <v>74</v>
      </c>
    </row>
    <row r="12" customFormat="false" ht="15" hidden="false" customHeight="false" outlineLevel="0" collapsed="false">
      <c r="A12" s="1" t="s">
        <v>75</v>
      </c>
      <c r="B12" s="1" t="s">
        <v>71</v>
      </c>
      <c r="C12" s="1" t="s">
        <v>76</v>
      </c>
      <c r="D12" s="1" t="s">
        <v>77</v>
      </c>
    </row>
    <row r="13" customFormat="false" ht="15" hidden="false" customHeight="false" outlineLevel="0" collapsed="false">
      <c r="A13" s="0" t="n">
        <v>1</v>
      </c>
      <c r="B13" s="0" t="n">
        <v>31289.5155653272</v>
      </c>
      <c r="C13" s="0" t="n">
        <v>20515806.2261309</v>
      </c>
      <c r="D13" s="0" t="n">
        <v>0.0054061982325981</v>
      </c>
    </row>
    <row r="14" customFormat="false" ht="15" hidden="false" customHeight="false" outlineLevel="0" collapsed="false">
      <c r="A14" s="0" t="n">
        <v>1.5</v>
      </c>
      <c r="B14" s="0" t="n">
        <v>31431.6755196089</v>
      </c>
      <c r="C14" s="0" t="n">
        <v>20572670.2078436</v>
      </c>
      <c r="D14" s="0" t="n">
        <v>0.0081928983524941</v>
      </c>
    </row>
    <row r="15" customFormat="false" ht="15" hidden="false" customHeight="false" outlineLevel="0" collapsed="false">
      <c r="A15" s="0" t="n">
        <v>2</v>
      </c>
      <c r="B15" s="0" t="n">
        <v>31576.7971396048</v>
      </c>
      <c r="C15" s="0" t="n">
        <v>20630718.8558419</v>
      </c>
      <c r="D15" s="0" t="n">
        <v>0.0110376547248882</v>
      </c>
    </row>
    <row r="16" customFormat="false" ht="15" hidden="false" customHeight="false" outlineLevel="0" collapsed="false">
      <c r="A16" s="0" t="n">
        <v>3</v>
      </c>
      <c r="B16" s="0" t="n">
        <v>31876.3034617241</v>
      </c>
      <c r="C16" s="0" t="n">
        <v>20750521.3846896</v>
      </c>
      <c r="D16" s="0" t="n">
        <v>0.0169087476636584</v>
      </c>
    </row>
    <row r="19" customFormat="false" ht="15" hidden="false" customHeight="false" outlineLevel="0" collapsed="false">
      <c r="A19" s="1" t="s">
        <v>78</v>
      </c>
    </row>
    <row r="20" customFormat="false" ht="15" hidden="false" customHeight="false" outlineLevel="0" collapsed="false">
      <c r="A20" s="1" t="s">
        <v>79</v>
      </c>
      <c r="B20" s="1" t="s">
        <v>80</v>
      </c>
      <c r="C20" s="1" t="s">
        <v>81</v>
      </c>
      <c r="D20" s="1" t="s">
        <v>71</v>
      </c>
      <c r="E20" s="1" t="s">
        <v>82</v>
      </c>
      <c r="F20" s="1" t="s">
        <v>83</v>
      </c>
    </row>
    <row r="21" customFormat="false" ht="15" hidden="false" customHeight="false" outlineLevel="0" collapsed="false">
      <c r="A21" s="0" t="n">
        <v>0.5</v>
      </c>
      <c r="B21" s="0" t="n">
        <v>10202745.0508041</v>
      </c>
      <c r="C21" s="3" t="b">
        <f aca="false">TRUE()</f>
        <v>1</v>
      </c>
      <c r="D21" s="0" t="n">
        <v>15381.0226896545</v>
      </c>
      <c r="E21" s="0" t="n">
        <v>0.0015075376884422</v>
      </c>
      <c r="F21" s="0" t="n">
        <v>0.0015075376884422</v>
      </c>
    </row>
    <row r="22" customFormat="false" ht="15" hidden="false" customHeight="false" outlineLevel="0" collapsed="false">
      <c r="A22" s="0" t="n">
        <v>1</v>
      </c>
      <c r="B22" s="0" t="n">
        <v>20405490.1016083</v>
      </c>
      <c r="C22" s="3" t="b">
        <f aca="false">TRUE()</f>
        <v>1</v>
      </c>
      <c r="D22" s="0" t="n">
        <v>31289.5155653272</v>
      </c>
      <c r="E22" s="0" t="n">
        <v>0.0025510204081632</v>
      </c>
      <c r="F22" s="0" t="n">
        <v>0.0025510204081632</v>
      </c>
    </row>
    <row r="23" customFormat="false" ht="15" hidden="false" customHeight="false" outlineLevel="0" collapsed="false">
      <c r="A23" s="0" t="n">
        <v>1.5</v>
      </c>
      <c r="B23" s="0" t="n">
        <v>30608235.1524124</v>
      </c>
      <c r="C23" s="3" t="b">
        <f aca="false">TRUE()</f>
        <v>1</v>
      </c>
      <c r="D23" s="0" t="n">
        <v>57316.9264092153</v>
      </c>
      <c r="E23" s="0" t="n">
        <v>0.0025510204081632</v>
      </c>
      <c r="F23" s="0" t="n">
        <v>0.0025510204081632</v>
      </c>
    </row>
    <row r="24" customFormat="false" ht="15" hidden="false" customHeight="false" outlineLevel="0" collapsed="false">
      <c r="A24" s="0" t="n">
        <v>2</v>
      </c>
      <c r="B24" s="0" t="n">
        <v>40810980.2032165</v>
      </c>
      <c r="C24" s="3" t="b">
        <f aca="false">TRUE()</f>
        <v>1</v>
      </c>
      <c r="D24" s="0" t="n">
        <v>83344.3372531034</v>
      </c>
      <c r="E24" s="0" t="n">
        <v>0.0025510204081632</v>
      </c>
      <c r="F24" s="0" t="n">
        <v>0.0025510204081632</v>
      </c>
    </row>
    <row r="25" customFormat="false" ht="15" hidden="false" customHeight="false" outlineLevel="0" collapsed="false">
      <c r="A25" s="0" t="n">
        <v>2.5</v>
      </c>
      <c r="B25" s="0" t="n">
        <v>51013725.2540207</v>
      </c>
      <c r="C25" s="3" t="b">
        <f aca="false">TRUE()</f>
        <v>1</v>
      </c>
      <c r="D25" s="0" t="n">
        <v>116612.539988617</v>
      </c>
      <c r="E25" s="0" t="n">
        <v>0.0036458333333333</v>
      </c>
      <c r="F25" s="0" t="n">
        <v>0.0036458333333333</v>
      </c>
    </row>
    <row r="26" customFormat="false" ht="15" hidden="false" customHeight="false" outlineLevel="0" collapsed="false">
      <c r="A26" s="0" t="n">
        <v>3</v>
      </c>
      <c r="B26" s="0" t="n">
        <v>61216470.3048248</v>
      </c>
      <c r="C26" s="3" t="b">
        <f aca="false">TRUE()</f>
        <v>1</v>
      </c>
      <c r="D26" s="0" t="n">
        <v>159446.2898658</v>
      </c>
      <c r="E26" s="0" t="n">
        <v>0.0059782608695652</v>
      </c>
      <c r="F26" s="0" t="n">
        <v>0.0059782608695652</v>
      </c>
    </row>
    <row r="29" customFormat="false" ht="15" hidden="false" customHeight="false" outlineLevel="0" collapsed="false">
      <c r="A29" s="1" t="s">
        <v>84</v>
      </c>
    </row>
    <row r="30" customFormat="false" ht="15" hidden="false" customHeight="false" outlineLevel="0" collapsed="false">
      <c r="A30" s="1" t="s">
        <v>85</v>
      </c>
      <c r="B30" s="1" t="s">
        <v>81</v>
      </c>
      <c r="C30" s="1" t="s">
        <v>71</v>
      </c>
      <c r="D30" s="1" t="s">
        <v>86</v>
      </c>
    </row>
    <row r="31" customFormat="false" ht="15" hidden="false" customHeight="false" outlineLevel="0" collapsed="false">
      <c r="A31" s="0" t="n">
        <v>1</v>
      </c>
      <c r="B31" s="3" t="b">
        <f aca="false">TRUE()</f>
        <v>1</v>
      </c>
      <c r="C31" s="0" t="n">
        <v>31289.5155653272</v>
      </c>
      <c r="D31" s="0" t="n">
        <v>0</v>
      </c>
    </row>
    <row r="32" customFormat="false" ht="15" hidden="false" customHeight="false" outlineLevel="0" collapsed="false">
      <c r="A32" s="0" t="n">
        <v>0.75</v>
      </c>
      <c r="B32" s="3" t="b">
        <f aca="false">TRUE()</f>
        <v>1</v>
      </c>
      <c r="C32" s="0" t="n">
        <v>36480.8420959394</v>
      </c>
      <c r="D32" s="0" t="n">
        <v>0</v>
      </c>
    </row>
    <row r="33" customFormat="false" ht="15" hidden="false" customHeight="false" outlineLevel="0" collapsed="false">
      <c r="A33" s="0" t="n">
        <v>0.5</v>
      </c>
      <c r="B33" s="3" t="b">
        <f aca="false">TRUE()</f>
        <v>1</v>
      </c>
      <c r="C33" s="0" t="n">
        <v>41672.1686265517</v>
      </c>
      <c r="D33" s="0" t="n">
        <v>0</v>
      </c>
    </row>
    <row r="34" customFormat="false" ht="15" hidden="false" customHeight="false" outlineLevel="0" collapsed="false">
      <c r="A34" s="0" t="n">
        <v>0.25</v>
      </c>
      <c r="B34" s="3" t="b">
        <f aca="false">TRUE()</f>
        <v>1</v>
      </c>
      <c r="C34" s="0" t="n">
        <v>70358.9082161363</v>
      </c>
      <c r="D34" s="0" t="n">
        <v>0</v>
      </c>
    </row>
    <row r="35" customFormat="false" ht="15" hidden="false" customHeight="false" outlineLevel="0" collapsed="false">
      <c r="A35" s="0" t="n">
        <v>0.1</v>
      </c>
      <c r="B35" s="3" t="b">
        <f aca="false">TRUE()</f>
        <v>1</v>
      </c>
      <c r="C35" s="0" t="n">
        <v>438143.6578686</v>
      </c>
      <c r="D35" s="0" t="n">
        <v>8631252.63733332</v>
      </c>
    </row>
    <row r="38" customFormat="false" ht="15" hidden="false" customHeight="false" outlineLevel="0" collapsed="false">
      <c r="A38" s="1" t="s">
        <v>87</v>
      </c>
    </row>
    <row r="39" customFormat="false" ht="15" hidden="false" customHeight="false" outlineLevel="0" collapsed="false">
      <c r="A39" s="1" t="s">
        <v>88</v>
      </c>
      <c r="B39" s="1" t="s">
        <v>71</v>
      </c>
    </row>
    <row r="40" customFormat="false" ht="15" hidden="false" customHeight="false" outlineLevel="0" collapsed="false">
      <c r="A40" s="0" t="s">
        <v>89</v>
      </c>
      <c r="B40" s="0" t="n">
        <v>31289.5155653272</v>
      </c>
    </row>
    <row r="41" customFormat="false" ht="15" hidden="false" customHeight="false" outlineLevel="0" collapsed="false">
      <c r="A41" s="0" t="s">
        <v>90</v>
      </c>
      <c r="B41" s="0" t="n">
        <v>45904.2867478728</v>
      </c>
    </row>
    <row r="42" customFormat="false" ht="15" hidden="false" customHeight="false" outlineLevel="0" collapsed="false">
      <c r="A42" s="0" t="s">
        <v>91</v>
      </c>
      <c r="B42" s="0" t="n">
        <v>52054.8216877762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2026-10-13T18:21:25Z</dcterms:created>
  <dc:creator>Deepak Chaudhary</dc:creator>
  <dc:description/>
  <dc:language>en-IN</dc:language>
  <cp:lastModifiedBy>Deepak Chaudhary</cp:lastModifiedBy>
  <dcterms:modified xsi:type="dcterms:W3CDTF">2026-10-13T18:21:25Z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